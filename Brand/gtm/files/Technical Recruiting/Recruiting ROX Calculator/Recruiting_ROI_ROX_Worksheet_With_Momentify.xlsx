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P0uGa5U70EUEXH9JLPCFwmFW1X7KIVNZ6ur7IEMR5E="/>
    </ext>
  </extLst>
</workbook>
</file>

<file path=xl/sharedStrings.xml><?xml version="1.0" encoding="utf-8"?>
<sst xmlns="http://schemas.openxmlformats.org/spreadsheetml/2006/main" count="53" uniqueCount="48">
  <si>
    <t>Section</t>
  </si>
  <si>
    <t>Metric</t>
  </si>
  <si>
    <t>User Input</t>
  </si>
  <si>
    <t>Formula / Output</t>
  </si>
  <si>
    <t>Event Investment</t>
  </si>
  <si>
    <t>Total Event Cost</t>
  </si>
  <si>
    <t>$event_cost</t>
  </si>
  <si>
    <t>Number of Recruiters at Booth</t>
  </si>
  <si>
    <t>$staff_count</t>
  </si>
  <si>
    <t>Hours at Event</t>
  </si>
  <si>
    <t>$hours</t>
  </si>
  <si>
    <t>Lead Capture &amp; Engagement</t>
  </si>
  <si>
    <t>Total Leads Captured</t>
  </si>
  <si>
    <t>$leads_total</t>
  </si>
  <si>
    <t>Qualified Leads</t>
  </si>
  <si>
    <t>$leads_qualified</t>
  </si>
  <si>
    <t>High-Intent Leads</t>
  </si>
  <si>
    <t>$leads_high_intent</t>
  </si>
  <si>
    <t>Content Engagement Rate</t>
  </si>
  <si>
    <t>$content_views / booth_visits</t>
  </si>
  <si>
    <t>%</t>
  </si>
  <si>
    <t>With Momentify</t>
  </si>
  <si>
    <t>Behavioral Intent Score</t>
  </si>
  <si>
    <t>Calculated from interaction depth + dwell time</t>
  </si>
  <si>
    <t>Score out of 100</t>
  </si>
  <si>
    <t>Hiring Outcomes</t>
  </si>
  <si>
    <t>Interviews Scheduled</t>
  </si>
  <si>
    <t>$interviews</t>
  </si>
  <si>
    <t>Hires Made</t>
  </si>
  <si>
    <t>$hires</t>
  </si>
  <si>
    <t>Avg. Time from Lead to Interview</t>
  </si>
  <si>
    <t>$days_to_interview</t>
  </si>
  <si>
    <t>Avg. Time from Lead to Hire</t>
  </si>
  <si>
    <t>$days_to_hire</t>
  </si>
  <si>
    <t>Calculated Outputs</t>
  </si>
  <si>
    <t>Cost per Lead</t>
  </si>
  <si>
    <t>$</t>
  </si>
  <si>
    <t>Cost per Hire</t>
  </si>
  <si>
    <t>% Leads That Became Interviews</t>
  </si>
  <si>
    <t>% Interviews That Became Hires</t>
  </si>
  <si>
    <t>48-Hour Follow-Up Rate</t>
  </si>
  <si>
    <t>Routing Accuracy Score</t>
  </si>
  <si>
    <t>Top Performing Content by Role</t>
  </si>
  <si>
    <t>Auto-generated via platform tagging</t>
  </si>
  <si>
    <t>Content Title</t>
  </si>
  <si>
    <t>ROX Composite Score</t>
  </si>
  <si>
    <t>Weighted score (see notes)</t>
  </si>
  <si>
    <t>Score /100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</si>
</sst>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9.29"/>
    <col customWidth="1" min="3" max="3" width="40.71"/>
    <col customWidth="1" min="4" max="4" width="16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B3" s="2" t="s">
        <v>7</v>
      </c>
      <c r="C3" s="2" t="s">
        <v>8</v>
      </c>
    </row>
    <row r="4"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B6" s="2" t="s">
        <v>14</v>
      </c>
      <c r="C6" s="2" t="s">
        <v>15</v>
      </c>
    </row>
    <row r="7">
      <c r="B7" s="2" t="s">
        <v>16</v>
      </c>
      <c r="C7" s="2" t="s">
        <v>17</v>
      </c>
    </row>
    <row r="8">
      <c r="B8" s="2" t="s">
        <v>18</v>
      </c>
      <c r="C8" s="2" t="s">
        <v>19</v>
      </c>
      <c r="D8" s="2" t="s">
        <v>20</v>
      </c>
    </row>
    <row r="9">
      <c r="A9" s="2" t="s">
        <v>21</v>
      </c>
      <c r="B9" s="2" t="s">
        <v>22</v>
      </c>
      <c r="C9" s="2" t="s">
        <v>23</v>
      </c>
      <c r="D9" s="2" t="s">
        <v>24</v>
      </c>
    </row>
    <row r="10">
      <c r="A10" s="2" t="s">
        <v>25</v>
      </c>
      <c r="B10" s="2" t="s">
        <v>26</v>
      </c>
      <c r="C10" s="2" t="s">
        <v>27</v>
      </c>
    </row>
    <row r="11">
      <c r="B11" s="2" t="s">
        <v>28</v>
      </c>
      <c r="C11" s="2" t="s">
        <v>29</v>
      </c>
    </row>
    <row r="12">
      <c r="B12" s="2" t="s">
        <v>30</v>
      </c>
      <c r="C12" s="2" t="s">
        <v>31</v>
      </c>
    </row>
    <row r="13">
      <c r="B13" s="2" t="s">
        <v>32</v>
      </c>
      <c r="C13" s="2" t="s">
        <v>33</v>
      </c>
    </row>
    <row r="14">
      <c r="A14" s="2" t="s">
        <v>34</v>
      </c>
      <c r="B14" s="2" t="s">
        <v>35</v>
      </c>
      <c r="C14" s="2" t="str">
        <f>B2/B5</f>
        <v>#VALUE!</v>
      </c>
      <c r="D14" s="2" t="s">
        <v>36</v>
      </c>
    </row>
    <row r="15">
      <c r="B15" s="2" t="s">
        <v>37</v>
      </c>
      <c r="C15" s="2" t="str">
        <f>B2/B10</f>
        <v>#VALUE!</v>
      </c>
      <c r="D15" s="2" t="s">
        <v>36</v>
      </c>
    </row>
    <row r="16">
      <c r="B16" s="2" t="s">
        <v>38</v>
      </c>
      <c r="C16" s="2" t="str">
        <f>B9/B5*100</f>
        <v>#VALUE!</v>
      </c>
      <c r="D16" s="2" t="s">
        <v>20</v>
      </c>
    </row>
    <row r="17">
      <c r="B17" s="2" t="s">
        <v>39</v>
      </c>
      <c r="C17" s="2" t="str">
        <f>B10/B9*100</f>
        <v>#VALUE!</v>
      </c>
      <c r="D17" s="2" t="s">
        <v>20</v>
      </c>
    </row>
    <row r="18">
      <c r="B18" s="2" t="s">
        <v>40</v>
      </c>
      <c r="C18" s="2" t="str">
        <f>B17/B9*100</f>
        <v>#VALUE!</v>
      </c>
      <c r="D18" s="2" t="s">
        <v>20</v>
      </c>
    </row>
    <row r="19">
      <c r="B19" s="2" t="s">
        <v>41</v>
      </c>
      <c r="C19" s="2" t="str">
        <f>Correctly Routed Leads / Total Leads * 100</f>
        <v>#ERROR!</v>
      </c>
      <c r="D19" s="2" t="s">
        <v>20</v>
      </c>
    </row>
    <row r="20">
      <c r="B20" s="2" t="s">
        <v>42</v>
      </c>
      <c r="C20" s="2" t="s">
        <v>43</v>
      </c>
      <c r="D20" s="2" t="s">
        <v>44</v>
      </c>
    </row>
    <row r="21" ht="15.75" customHeight="1">
      <c r="B21" s="2" t="s">
        <v>45</v>
      </c>
      <c r="C21" s="2" t="s">
        <v>46</v>
      </c>
      <c r="D21" s="2" t="s">
        <v>47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2025-06-10T15:27:40Z</dcterms:created>
</cp:coreProperties>
</file>